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ebuzz\Documents\Converter\Converter\"/>
    </mc:Choice>
  </mc:AlternateContent>
  <xr:revisionPtr revIDLastSave="0" documentId="10_ncr:0_{496C0725-D30C-4A0D-8715-2459CAC1923E}" xr6:coauthVersionLast="36" xr6:coauthVersionMax="36" xr10:uidLastSave="{00000000-0000-0000-0000-000000000000}"/>
  <bookViews>
    <workbookView xWindow="0" yWindow="0" windowWidth="30720" windowHeight="13968" xr2:uid="{3221C338-80F3-471B-93E0-C0262F9A8A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4" i="1"/>
  <c r="C16" i="1"/>
  <c r="E16" i="1" s="1"/>
  <c r="D5" i="1"/>
  <c r="C5" i="1" s="1"/>
  <c r="E14" i="1"/>
  <c r="C11" i="1"/>
  <c r="E11" i="1" s="1"/>
  <c r="C12" i="1"/>
  <c r="E12" i="1" s="1"/>
  <c r="D6" i="1" s="1"/>
  <c r="C6" i="1" s="1"/>
  <c r="C15" i="1"/>
  <c r="E15" i="1" s="1"/>
  <c r="C10" i="1"/>
  <c r="E10" i="1" s="1"/>
  <c r="D4" i="1"/>
</calcChain>
</file>

<file path=xl/sharedStrings.xml><?xml version="1.0" encoding="utf-8"?>
<sst xmlns="http://schemas.openxmlformats.org/spreadsheetml/2006/main" count="24" uniqueCount="22">
  <si>
    <t>Допустимо выполнение цикла PWM на 3000 Гц</t>
  </si>
  <si>
    <t>Модуль</t>
  </si>
  <si>
    <t>PWM</t>
  </si>
  <si>
    <t>Частота, Гц</t>
  </si>
  <si>
    <t>Время 1 цикла, секунды</t>
  </si>
  <si>
    <t>Комментарии</t>
  </si>
  <si>
    <t>ADS</t>
  </si>
  <si>
    <t>Число тактов на цикл</t>
  </si>
  <si>
    <t>Полное время выполнения, секунды</t>
  </si>
  <si>
    <t>Частота работы ЦП, мГц</t>
  </si>
  <si>
    <t>AMC</t>
  </si>
  <si>
    <t>ADCHub -&gt; PCON</t>
  </si>
  <si>
    <t>PCON -&gt; C28</t>
  </si>
  <si>
    <t>С28</t>
  </si>
  <si>
    <t>Время 1 такта, секунды</t>
  </si>
  <si>
    <t>За 1 такт принята передача 1 бита</t>
  </si>
  <si>
    <t>За 1 такт принята 1 итерация цикла</t>
  </si>
  <si>
    <t>Допустимое время PWM</t>
  </si>
  <si>
    <t>В его коде инвертора PWM</t>
  </si>
  <si>
    <t>В таблице ниже PWM</t>
  </si>
  <si>
    <t>PCON -&gt; ADCHub</t>
  </si>
  <si>
    <t>Значения подогнаны так, чтобы полный цикл был чуть длинее допустимого и цифры были приличные. На 20 мГц поскольку приёмник работает на 20 мГц, и Quartus'у не нравится приём значений более медленным блоком с более быстрого.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</si>
</sst>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46B0-FE15-4D23-B737-CACA5C5BE9C3}">
  <dimension ref="A1:G16"/>
  <sheetViews>
    <sheetView tabSelected="1" zoomScale="190" zoomScaleNormal="190" workbookViewId="0">
      <selection activeCell="D12" sqref="D12"/>
    </sheetView>
  </sheetViews>
  <sheetFormatPr defaultRowHeight="14.4" x14ac:dyDescent="0.3"/>
  <cols>
    <col min="1" max="1" width="15.44140625" customWidth="1"/>
    <col min="2" max="2" width="13.6640625" customWidth="1"/>
    <col min="3" max="3" width="14.109375" bestFit="1" customWidth="1"/>
    <col min="4" max="4" width="12.21875" bestFit="1" customWidth="1"/>
    <col min="5" max="5" width="20.109375" bestFit="1" customWidth="1"/>
    <col min="6" max="6" width="2.77734375" customWidth="1"/>
    <col min="7" max="7" width="57" style="6" customWidth="1"/>
  </cols>
  <sheetData>
    <row r="1" spans="1:7" x14ac:dyDescent="0.3">
      <c r="A1" t="s">
        <v>0</v>
      </c>
    </row>
    <row r="3" spans="1:7" ht="43.2" x14ac:dyDescent="0.3">
      <c r="A3" s="8" t="s">
        <v>1</v>
      </c>
      <c r="B3" s="8"/>
      <c r="C3" s="2" t="s">
        <v>3</v>
      </c>
      <c r="D3" s="2" t="s">
        <v>4</v>
      </c>
    </row>
    <row r="4" spans="1:7" x14ac:dyDescent="0.3">
      <c r="A4" s="9" t="s">
        <v>17</v>
      </c>
      <c r="B4" s="9"/>
      <c r="C4" s="10">
        <v>3000</v>
      </c>
      <c r="D4" s="1">
        <f xml:space="preserve"> 1 / C4</f>
        <v>3.3333333333333332E-4</v>
      </c>
    </row>
    <row r="5" spans="1:7" x14ac:dyDescent="0.3">
      <c r="A5" s="9" t="s">
        <v>18</v>
      </c>
      <c r="B5" s="9"/>
      <c r="C5" s="10">
        <f>1/D5</f>
        <v>1220.703125</v>
      </c>
      <c r="D5" s="1">
        <f>200*10^-9*4096</f>
        <v>8.1920000000000007E-4</v>
      </c>
    </row>
    <row r="6" spans="1:7" x14ac:dyDescent="0.3">
      <c r="A6" s="9" t="s">
        <v>19</v>
      </c>
      <c r="B6" s="9"/>
      <c r="C6" s="10">
        <f>1/D6</f>
        <v>2857.1428571428573</v>
      </c>
      <c r="D6" s="4">
        <f>E12</f>
        <v>3.5E-4</v>
      </c>
    </row>
    <row r="7" spans="1:7" x14ac:dyDescent="0.3">
      <c r="B7" s="1"/>
    </row>
    <row r="9" spans="1:7" ht="43.2" x14ac:dyDescent="0.3">
      <c r="A9" s="2" t="s">
        <v>1</v>
      </c>
      <c r="B9" s="2" t="s">
        <v>9</v>
      </c>
      <c r="C9" s="2" t="s">
        <v>14</v>
      </c>
      <c r="D9" s="2" t="s">
        <v>7</v>
      </c>
      <c r="E9" s="2" t="s">
        <v>8</v>
      </c>
      <c r="G9" s="2" t="s">
        <v>5</v>
      </c>
    </row>
    <row r="10" spans="1:7" x14ac:dyDescent="0.3">
      <c r="A10" s="3" t="s">
        <v>6</v>
      </c>
      <c r="B10" s="3">
        <v>5</v>
      </c>
      <c r="C10" s="4">
        <f>1/(B10*10^6)</f>
        <v>1.9999999999999999E-7</v>
      </c>
      <c r="D10" s="3">
        <v>18</v>
      </c>
      <c r="E10" s="4">
        <f>D10*C10</f>
        <v>3.5999999999999998E-6</v>
      </c>
      <c r="G10" s="7"/>
    </row>
    <row r="11" spans="1:7" x14ac:dyDescent="0.3">
      <c r="A11" s="3" t="s">
        <v>10</v>
      </c>
      <c r="B11" s="3">
        <v>20</v>
      </c>
      <c r="C11" s="4">
        <f>1/(B11*10^6)</f>
        <v>4.9999999999999998E-8</v>
      </c>
      <c r="D11" s="3">
        <v>4096</v>
      </c>
      <c r="E11" s="4">
        <f>D11*C11</f>
        <v>2.0479999999999999E-4</v>
      </c>
      <c r="G11" s="7"/>
    </row>
    <row r="12" spans="1:7" ht="57.6" x14ac:dyDescent="0.3">
      <c r="A12" s="3" t="s">
        <v>2</v>
      </c>
      <c r="B12" s="3">
        <v>20</v>
      </c>
      <c r="C12" s="4">
        <f>1/(B12*10^6)</f>
        <v>4.9999999999999998E-8</v>
      </c>
      <c r="D12" s="3">
        <v>7000</v>
      </c>
      <c r="E12" s="4">
        <f>D12*C12</f>
        <v>3.5E-4</v>
      </c>
      <c r="G12" s="5" t="s">
        <v>21</v>
      </c>
    </row>
    <row r="13" spans="1:7" x14ac:dyDescent="0.3">
      <c r="A13" s="3" t="s">
        <v>20</v>
      </c>
      <c r="B13" s="3">
        <v>20</v>
      </c>
      <c r="C13" s="4">
        <f>600*10^-9</f>
        <v>6.0000000000000008E-7</v>
      </c>
      <c r="G13" s="7" t="s">
        <v>15</v>
      </c>
    </row>
    <row r="14" spans="1:7" x14ac:dyDescent="0.3">
      <c r="A14" s="3" t="s">
        <v>11</v>
      </c>
      <c r="B14" s="3">
        <v>20</v>
      </c>
      <c r="C14" s="4">
        <f>600*10^-9</f>
        <v>6.0000000000000008E-7</v>
      </c>
      <c r="D14" s="3">
        <v>24</v>
      </c>
      <c r="E14" s="4">
        <f>D14*C14</f>
        <v>1.4400000000000001E-5</v>
      </c>
      <c r="G14" s="7" t="s">
        <v>15</v>
      </c>
    </row>
    <row r="15" spans="1:7" x14ac:dyDescent="0.3">
      <c r="A15" s="3" t="s">
        <v>12</v>
      </c>
      <c r="B15" s="3">
        <v>20</v>
      </c>
      <c r="C15" s="4">
        <f>1/(B15*10^6)</f>
        <v>4.9999999999999998E-8</v>
      </c>
      <c r="D15" s="3">
        <v>100</v>
      </c>
      <c r="E15" s="4">
        <f>D15*C15</f>
        <v>4.9999999999999996E-6</v>
      </c>
      <c r="G15" s="7"/>
    </row>
    <row r="16" spans="1:7" x14ac:dyDescent="0.3">
      <c r="A16" s="3" t="s">
        <v>13</v>
      </c>
      <c r="B16" s="3">
        <v>100</v>
      </c>
      <c r="C16" s="4">
        <f>300*10^-6</f>
        <v>2.9999999999999997E-4</v>
      </c>
      <c r="D16" s="3">
        <v>1</v>
      </c>
      <c r="E16" s="4">
        <f>D16*C16</f>
        <v>2.9999999999999997E-4</v>
      </c>
      <c r="G16" s="7" t="s">
        <v>16</v>
      </c>
    </row>
  </sheetData>
  <mergeCells count="4"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Arkebuzz</dc:creator>
  <cp:lastModifiedBy>Arkebuzz</cp:lastModifiedBy>
  <dcterms:created xsi:type="dcterms:W3CDTF">2026-07-06T15:54:11Z</dcterms:created>
  <dcterms:modified xsi:type="dcterms:W3CDTF">2026-07-06T16:35:27Z</dcterms:modified>
</cp:coreProperties>
</file>